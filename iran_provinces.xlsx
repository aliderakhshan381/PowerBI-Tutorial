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8213DCA5-FE0D-4FB8-A7E6-099D60F13BF2}" xr6:coauthVersionLast="36" xr6:coauthVersionMax="36" xr10:uidLastSave="{00000000-0000-0000-0000-000000000000}"/>
  <bookViews>
    <workbookView xWindow="120" yWindow="120" windowWidth="23820" windowHeight="15720" xr2:uid="{00000000-000D-0000-FFFF-FFFF00000000}"/>
  </bookViews>
  <sheets>
    <sheet name="Provinces" sheetId="1" r:id="rId1"/>
  </sheets>
  <calcPr calcId="191029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F32" i="1" s="1"/>
  <c r="E2" i="1"/>
</calcChain>
</file>

<file path=xl/sharedStrings.xml><?xml version="1.0" encoding="utf-8"?>
<sst xmlns="http://schemas.openxmlformats.org/spreadsheetml/2006/main" count="68" uniqueCount="68">
  <si>
    <t>id</t>
  </si>
  <si>
    <t>province</t>
  </si>
  <si>
    <t>coordinates</t>
  </si>
  <si>
    <t>East Azerbaijan Province</t>
  </si>
  <si>
    <t>37.9035733,46.2682109</t>
  </si>
  <si>
    <t>West Azerbaijan Province</t>
  </si>
  <si>
    <t>37.4550062,45</t>
  </si>
  <si>
    <t>Ardebil Province</t>
  </si>
  <si>
    <t>38.2537363,48.2999901</t>
  </si>
  <si>
    <t>Isfahan Province</t>
  </si>
  <si>
    <t>32.6546275,51.6679826</t>
  </si>
  <si>
    <t>Alborz Province</t>
  </si>
  <si>
    <t>35.855938,50.96175</t>
  </si>
  <si>
    <t>Ilam Province</t>
  </si>
  <si>
    <t>33.6349736,46.415281</t>
  </si>
  <si>
    <t>Bushehr Province</t>
  </si>
  <si>
    <t>28.9233837,50.8203140</t>
  </si>
  <si>
    <t>Tehran Province</t>
  </si>
  <si>
    <t>35.6891975,51.3889736</t>
  </si>
  <si>
    <t>Chahar Mahall va Bakhtiari Province</t>
  </si>
  <si>
    <t>31.9970419,50.6613849</t>
  </si>
  <si>
    <t>South Khorasan Province</t>
  </si>
  <si>
    <t>32.5175643,59.1041758</t>
  </si>
  <si>
    <t>Razavi Khorasan Province</t>
  </si>
  <si>
    <t>35.1020253,59.1041758</t>
  </si>
  <si>
    <t>North Khorasan Province</t>
  </si>
  <si>
    <t>37.4710353,57.1013188</t>
  </si>
  <si>
    <t>Khuzestan Province</t>
  </si>
  <si>
    <t>31.4360149,49.041312</t>
  </si>
  <si>
    <t>Zanjan Province</t>
  </si>
  <si>
    <t>36.6830045,48.5087209</t>
  </si>
  <si>
    <t>Semnan Province</t>
  </si>
  <si>
    <t>35.2255585,54.4342138</t>
  </si>
  <si>
    <t>Sistan and Baluchestan Province</t>
  </si>
  <si>
    <t>27.5299906,60.5820676</t>
  </si>
  <si>
    <t>Fars Province</t>
  </si>
  <si>
    <t>29.513499, 53.031543</t>
  </si>
  <si>
    <t>Qazvin Province</t>
  </si>
  <si>
    <t>36.2736589,49.998236</t>
  </si>
  <si>
    <t>Qom Province</t>
  </si>
  <si>
    <t>34.6399443,50.8759419</t>
  </si>
  <si>
    <t>Kurdistan Province</t>
  </si>
  <si>
    <t>35.3113,46.996</t>
  </si>
  <si>
    <t>Kerman Province</t>
  </si>
  <si>
    <t>30.2839379,57.0833628</t>
  </si>
  <si>
    <t>Kermanshah Province</t>
  </si>
  <si>
    <t>34.3276924,47.0777685</t>
  </si>
  <si>
    <t>Kohgiluyeh and Buyer Ahmad Province</t>
  </si>
  <si>
    <t>30.724586,50.8456323</t>
  </si>
  <si>
    <t>Golestan Province</t>
  </si>
  <si>
    <t>36.8393,54.4444</t>
  </si>
  <si>
    <t>Gilan Province</t>
  </si>
  <si>
    <t>37.2809455,49.5924134</t>
  </si>
  <si>
    <t>Lorestan Province</t>
  </si>
  <si>
    <t>33.5818394,48.3988186</t>
  </si>
  <si>
    <t>Mazandaran Province</t>
  </si>
  <si>
    <t>36.2262393,52.5318604</t>
  </si>
  <si>
    <t>Markazi Province</t>
  </si>
  <si>
    <t>34.612305,49.8547266</t>
  </si>
  <si>
    <t>Hormozgan Province</t>
  </si>
  <si>
    <t>27.138723,55.1375834</t>
  </si>
  <si>
    <t>Hamedan Province</t>
  </si>
  <si>
    <t>34.7988575,48.5150225</t>
  </si>
  <si>
    <t>Yazd Province</t>
  </si>
  <si>
    <t>31.8974232,54.3568562</t>
  </si>
  <si>
    <t>weight</t>
  </si>
  <si>
    <t>color</t>
  </si>
  <si>
    <t>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</si>
</sst>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charset val="1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</borders>
  <cellStyleXfs count="2">
    <xf numFmtId="0" fontId="0" fillId="0" borderId="0">
      <alignment wrapText="1"/>
    </xf>
    <xf numFmtId="0" fontId="1" fillId="2" borderId="0" applyNumberFormat="0" applyBorder="0" applyAlignment="0" applyProtection="0"/>
  </cellStyleXfs>
  <cellXfs count="4">
    <xf numFmtId="0" fontId="0" fillId="0" borderId="0" xfId="0">
      <alignment wrapText="1"/>
    </xf>
    <xf numFmtId="0" fontId="1" fillId="2" borderId="1" xfId="1" applyNumberFormat="1" applyBorder="1" applyAlignment="1">
      <alignment horizontal="left" vertical="top" wrapText="1"/>
    </xf>
    <xf numFmtId="0" fontId="1" fillId="2" borderId="2" xfId="1" applyNumberFormat="1" applyBorder="1" applyAlignment="1">
      <alignment horizontal="left" vertical="top" wrapText="1"/>
    </xf>
    <xf numFmtId="0" fontId="1" fillId="2" borderId="3" xfId="1" applyNumberFormat="1" applyBorder="1" applyAlignment="1">
      <alignment horizontal="left" vertical="top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selection activeCell="E3" sqref="E3"/>
    </sheetView>
  </sheetViews>
  <sheetFormatPr defaultRowHeight="13.2" x14ac:dyDescent="0.25"/>
  <cols>
    <col min="1" max="1" width="3.33203125" customWidth="1"/>
    <col min="2" max="2" width="23.88671875" customWidth="1"/>
    <col min="3" max="3" width="24.21875" customWidth="1"/>
    <col min="4" max="4" width="8" customWidth="1"/>
    <col min="5" max="256" width="16.88671875" customWidth="1"/>
  </cols>
  <sheetData>
    <row r="1" spans="1:6" ht="14.4" x14ac:dyDescent="0.25">
      <c r="A1" s="1" t="s">
        <v>0</v>
      </c>
      <c r="B1" s="1" t="s">
        <v>1</v>
      </c>
      <c r="C1" s="1" t="s">
        <v>2</v>
      </c>
      <c r="D1" s="2" t="s">
        <v>65</v>
      </c>
      <c r="E1" s="2" t="s">
        <v>67</v>
      </c>
      <c r="F1" s="3" t="s">
        <v>66</v>
      </c>
    </row>
    <row r="2" spans="1:6" x14ac:dyDescent="0.25">
      <c r="A2">
        <v>1</v>
      </c>
      <c r="B2" t="s">
        <v>3</v>
      </c>
      <c r="C2" t="s">
        <v>4</v>
      </c>
      <c r="D2">
        <v>71</v>
      </c>
      <c r="E2">
        <f>INT(D2/25) +1</f>
        <v>3</v>
      </c>
      <c r="F2" t="str">
        <f>_xlfn.SWITCH(E2,1,"Green",2,"Yellow",3,"Orange",4,"Red")</f>
        <v>Orange</v>
      </c>
    </row>
    <row r="3" spans="1:6" x14ac:dyDescent="0.25">
      <c r="A3">
        <v>2</v>
      </c>
      <c r="B3" t="s">
        <v>5</v>
      </c>
      <c r="C3" t="s">
        <v>6</v>
      </c>
      <c r="D3">
        <v>1</v>
      </c>
      <c r="E3">
        <f t="shared" ref="E3:E32" si="0">INT(D3/25) +1</f>
        <v>1</v>
      </c>
      <c r="F3" t="str">
        <f t="shared" ref="F3:F31" si="1">_xlfn.SWITCH(E3,1,"Green",2,"Yellow",3,"Orange",4,"Red")</f>
        <v>Green</v>
      </c>
    </row>
    <row r="4" spans="1:6" x14ac:dyDescent="0.25">
      <c r="A4">
        <v>3</v>
      </c>
      <c r="B4" t="s">
        <v>7</v>
      </c>
      <c r="C4" t="s">
        <v>8</v>
      </c>
      <c r="D4">
        <v>10</v>
      </c>
      <c r="E4">
        <f t="shared" si="0"/>
        <v>1</v>
      </c>
      <c r="F4" t="str">
        <f t="shared" si="1"/>
        <v>Green</v>
      </c>
    </row>
    <row r="5" spans="1:6" x14ac:dyDescent="0.25">
      <c r="A5">
        <v>4</v>
      </c>
      <c r="B5" t="s">
        <v>9</v>
      </c>
      <c r="C5" t="s">
        <v>10</v>
      </c>
      <c r="D5">
        <v>97</v>
      </c>
      <c r="E5">
        <f t="shared" si="0"/>
        <v>4</v>
      </c>
      <c r="F5" t="str">
        <f t="shared" si="1"/>
        <v>Red</v>
      </c>
    </row>
    <row r="6" spans="1:6" x14ac:dyDescent="0.25">
      <c r="A6">
        <v>5</v>
      </c>
      <c r="B6" t="s">
        <v>11</v>
      </c>
      <c r="C6" t="s">
        <v>12</v>
      </c>
      <c r="D6">
        <v>81</v>
      </c>
      <c r="E6">
        <f t="shared" si="0"/>
        <v>4</v>
      </c>
      <c r="F6" t="str">
        <f t="shared" si="1"/>
        <v>Red</v>
      </c>
    </row>
    <row r="7" spans="1:6" x14ac:dyDescent="0.25">
      <c r="A7">
        <v>6</v>
      </c>
      <c r="B7" t="s">
        <v>13</v>
      </c>
      <c r="C7" t="s">
        <v>14</v>
      </c>
      <c r="D7">
        <v>54</v>
      </c>
      <c r="E7">
        <f t="shared" si="0"/>
        <v>3</v>
      </c>
      <c r="F7" t="str">
        <f t="shared" si="1"/>
        <v>Orange</v>
      </c>
    </row>
    <row r="8" spans="1:6" x14ac:dyDescent="0.25">
      <c r="A8">
        <v>7</v>
      </c>
      <c r="B8" t="s">
        <v>15</v>
      </c>
      <c r="C8" t="s">
        <v>16</v>
      </c>
      <c r="D8">
        <v>48</v>
      </c>
      <c r="E8">
        <f t="shared" si="0"/>
        <v>2</v>
      </c>
      <c r="F8" t="str">
        <f t="shared" si="1"/>
        <v>Yellow</v>
      </c>
    </row>
    <row r="9" spans="1:6" x14ac:dyDescent="0.25">
      <c r="A9">
        <v>8</v>
      </c>
      <c r="B9" t="s">
        <v>17</v>
      </c>
      <c r="C9" t="s">
        <v>18</v>
      </c>
      <c r="D9">
        <v>73</v>
      </c>
      <c r="E9">
        <f t="shared" si="0"/>
        <v>3</v>
      </c>
      <c r="F9" t="str">
        <f t="shared" si="1"/>
        <v>Orange</v>
      </c>
    </row>
    <row r="10" spans="1:6" ht="26.4" x14ac:dyDescent="0.25">
      <c r="A10">
        <v>9</v>
      </c>
      <c r="B10" t="s">
        <v>19</v>
      </c>
      <c r="C10" t="s">
        <v>20</v>
      </c>
      <c r="D10">
        <v>8</v>
      </c>
      <c r="E10">
        <f t="shared" si="0"/>
        <v>1</v>
      </c>
      <c r="F10" t="str">
        <f t="shared" si="1"/>
        <v>Green</v>
      </c>
    </row>
    <row r="11" spans="1:6" x14ac:dyDescent="0.25">
      <c r="A11">
        <v>10</v>
      </c>
      <c r="B11" t="s">
        <v>21</v>
      </c>
      <c r="C11" t="s">
        <v>22</v>
      </c>
      <c r="D11">
        <v>62</v>
      </c>
      <c r="E11">
        <f t="shared" si="0"/>
        <v>3</v>
      </c>
      <c r="F11" t="str">
        <f t="shared" si="1"/>
        <v>Orange</v>
      </c>
    </row>
    <row r="12" spans="1:6" x14ac:dyDescent="0.25">
      <c r="A12">
        <v>11</v>
      </c>
      <c r="B12" t="s">
        <v>23</v>
      </c>
      <c r="C12" t="s">
        <v>24</v>
      </c>
      <c r="D12">
        <v>74</v>
      </c>
      <c r="E12">
        <f t="shared" si="0"/>
        <v>3</v>
      </c>
      <c r="F12" t="str">
        <f t="shared" si="1"/>
        <v>Orange</v>
      </c>
    </row>
    <row r="13" spans="1:6" x14ac:dyDescent="0.25">
      <c r="A13">
        <v>12</v>
      </c>
      <c r="B13" t="s">
        <v>25</v>
      </c>
      <c r="C13" t="s">
        <v>26</v>
      </c>
      <c r="D13">
        <v>67</v>
      </c>
      <c r="E13">
        <f t="shared" si="0"/>
        <v>3</v>
      </c>
      <c r="F13" t="str">
        <f t="shared" si="1"/>
        <v>Orange</v>
      </c>
    </row>
    <row r="14" spans="1:6" x14ac:dyDescent="0.25">
      <c r="A14">
        <v>13</v>
      </c>
      <c r="B14" t="s">
        <v>27</v>
      </c>
      <c r="C14" t="s">
        <v>28</v>
      </c>
      <c r="D14">
        <v>97</v>
      </c>
      <c r="E14">
        <f t="shared" si="0"/>
        <v>4</v>
      </c>
      <c r="F14" t="str">
        <f t="shared" si="1"/>
        <v>Red</v>
      </c>
    </row>
    <row r="15" spans="1:6" x14ac:dyDescent="0.25">
      <c r="A15">
        <v>14</v>
      </c>
      <c r="B15" t="s">
        <v>29</v>
      </c>
      <c r="C15" t="s">
        <v>30</v>
      </c>
      <c r="D15">
        <v>36</v>
      </c>
      <c r="E15">
        <f t="shared" si="0"/>
        <v>2</v>
      </c>
      <c r="F15" t="str">
        <f t="shared" si="1"/>
        <v>Yellow</v>
      </c>
    </row>
    <row r="16" spans="1:6" x14ac:dyDescent="0.25">
      <c r="A16">
        <v>15</v>
      </c>
      <c r="B16" t="s">
        <v>31</v>
      </c>
      <c r="C16" t="s">
        <v>32</v>
      </c>
      <c r="D16">
        <v>96</v>
      </c>
      <c r="E16">
        <f t="shared" si="0"/>
        <v>4</v>
      </c>
      <c r="F16" t="str">
        <f t="shared" si="1"/>
        <v>Red</v>
      </c>
    </row>
    <row r="17" spans="1:6" ht="26.4" x14ac:dyDescent="0.25">
      <c r="A17">
        <v>16</v>
      </c>
      <c r="B17" t="s">
        <v>33</v>
      </c>
      <c r="C17" t="s">
        <v>34</v>
      </c>
      <c r="D17">
        <v>54</v>
      </c>
      <c r="E17">
        <f t="shared" si="0"/>
        <v>3</v>
      </c>
      <c r="F17" t="str">
        <f t="shared" si="1"/>
        <v>Orange</v>
      </c>
    </row>
    <row r="18" spans="1:6" x14ac:dyDescent="0.25">
      <c r="A18">
        <v>17</v>
      </c>
      <c r="B18" t="s">
        <v>35</v>
      </c>
      <c r="C18" t="s">
        <v>36</v>
      </c>
      <c r="D18">
        <v>46</v>
      </c>
      <c r="E18">
        <f t="shared" si="0"/>
        <v>2</v>
      </c>
      <c r="F18" t="str">
        <f t="shared" si="1"/>
        <v>Yellow</v>
      </c>
    </row>
    <row r="19" spans="1:6" x14ac:dyDescent="0.25">
      <c r="A19">
        <v>18</v>
      </c>
      <c r="B19" t="s">
        <v>37</v>
      </c>
      <c r="C19" t="s">
        <v>38</v>
      </c>
      <c r="D19">
        <v>41</v>
      </c>
      <c r="E19">
        <f t="shared" si="0"/>
        <v>2</v>
      </c>
      <c r="F19" t="str">
        <f t="shared" si="1"/>
        <v>Yellow</v>
      </c>
    </row>
    <row r="20" spans="1:6" x14ac:dyDescent="0.25">
      <c r="A20">
        <v>19</v>
      </c>
      <c r="B20" t="s">
        <v>39</v>
      </c>
      <c r="C20" t="s">
        <v>40</v>
      </c>
      <c r="D20">
        <v>91</v>
      </c>
      <c r="E20">
        <f t="shared" si="0"/>
        <v>4</v>
      </c>
      <c r="F20" t="str">
        <f t="shared" si="1"/>
        <v>Red</v>
      </c>
    </row>
    <row r="21" spans="1:6" x14ac:dyDescent="0.25">
      <c r="A21">
        <v>20</v>
      </c>
      <c r="B21" t="s">
        <v>41</v>
      </c>
      <c r="C21" t="s">
        <v>42</v>
      </c>
      <c r="D21">
        <v>99</v>
      </c>
      <c r="E21">
        <f t="shared" si="0"/>
        <v>4</v>
      </c>
      <c r="F21" t="str">
        <f t="shared" si="1"/>
        <v>Red</v>
      </c>
    </row>
    <row r="22" spans="1:6" x14ac:dyDescent="0.25">
      <c r="A22">
        <v>21</v>
      </c>
      <c r="B22" t="s">
        <v>43</v>
      </c>
      <c r="C22" t="s">
        <v>44</v>
      </c>
      <c r="D22">
        <v>71</v>
      </c>
      <c r="E22">
        <f t="shared" si="0"/>
        <v>3</v>
      </c>
      <c r="F22" t="str">
        <f t="shared" si="1"/>
        <v>Orange</v>
      </c>
    </row>
    <row r="23" spans="1:6" x14ac:dyDescent="0.25">
      <c r="A23">
        <v>22</v>
      </c>
      <c r="B23" t="s">
        <v>45</v>
      </c>
      <c r="C23" t="s">
        <v>46</v>
      </c>
      <c r="D23">
        <v>96</v>
      </c>
      <c r="E23">
        <f t="shared" si="0"/>
        <v>4</v>
      </c>
      <c r="F23" t="str">
        <f t="shared" si="1"/>
        <v>Red</v>
      </c>
    </row>
    <row r="24" spans="1:6" ht="26.4" x14ac:dyDescent="0.25">
      <c r="A24">
        <v>23</v>
      </c>
      <c r="B24" t="s">
        <v>47</v>
      </c>
      <c r="C24" t="s">
        <v>48</v>
      </c>
      <c r="D24">
        <v>83</v>
      </c>
      <c r="E24">
        <f t="shared" si="0"/>
        <v>4</v>
      </c>
      <c r="F24" t="str">
        <f t="shared" si="1"/>
        <v>Red</v>
      </c>
    </row>
    <row r="25" spans="1:6" x14ac:dyDescent="0.25">
      <c r="A25">
        <v>24</v>
      </c>
      <c r="B25" t="s">
        <v>49</v>
      </c>
      <c r="C25" t="s">
        <v>50</v>
      </c>
      <c r="D25">
        <v>55</v>
      </c>
      <c r="E25">
        <f t="shared" si="0"/>
        <v>3</v>
      </c>
      <c r="F25" t="str">
        <f t="shared" si="1"/>
        <v>Orange</v>
      </c>
    </row>
    <row r="26" spans="1:6" x14ac:dyDescent="0.25">
      <c r="A26">
        <v>25</v>
      </c>
      <c r="B26" t="s">
        <v>51</v>
      </c>
      <c r="C26" t="s">
        <v>52</v>
      </c>
      <c r="D26">
        <v>18</v>
      </c>
      <c r="E26">
        <f t="shared" si="0"/>
        <v>1</v>
      </c>
      <c r="F26" t="str">
        <f t="shared" si="1"/>
        <v>Green</v>
      </c>
    </row>
    <row r="27" spans="1:6" x14ac:dyDescent="0.25">
      <c r="A27">
        <v>26</v>
      </c>
      <c r="B27" t="s">
        <v>53</v>
      </c>
      <c r="C27" t="s">
        <v>54</v>
      </c>
      <c r="D27">
        <v>65</v>
      </c>
      <c r="E27">
        <f t="shared" si="0"/>
        <v>3</v>
      </c>
      <c r="F27" t="str">
        <f t="shared" si="1"/>
        <v>Orange</v>
      </c>
    </row>
    <row r="28" spans="1:6" x14ac:dyDescent="0.25">
      <c r="A28">
        <v>27</v>
      </c>
      <c r="B28" t="s">
        <v>55</v>
      </c>
      <c r="C28" t="s">
        <v>56</v>
      </c>
      <c r="D28">
        <v>4</v>
      </c>
      <c r="E28">
        <f t="shared" si="0"/>
        <v>1</v>
      </c>
      <c r="F28" t="str">
        <f t="shared" si="1"/>
        <v>Green</v>
      </c>
    </row>
    <row r="29" spans="1:6" x14ac:dyDescent="0.25">
      <c r="A29">
        <v>28</v>
      </c>
      <c r="B29" t="s">
        <v>57</v>
      </c>
      <c r="C29" t="s">
        <v>58</v>
      </c>
      <c r="D29">
        <v>80</v>
      </c>
      <c r="E29">
        <f t="shared" si="0"/>
        <v>4</v>
      </c>
      <c r="F29" t="str">
        <f t="shared" si="1"/>
        <v>Red</v>
      </c>
    </row>
    <row r="30" spans="1:6" x14ac:dyDescent="0.25">
      <c r="A30">
        <v>29</v>
      </c>
      <c r="B30" t="s">
        <v>59</v>
      </c>
      <c r="C30" t="s">
        <v>60</v>
      </c>
      <c r="D30">
        <v>12</v>
      </c>
      <c r="E30">
        <f t="shared" si="0"/>
        <v>1</v>
      </c>
      <c r="F30" t="str">
        <f t="shared" si="1"/>
        <v>Green</v>
      </c>
    </row>
    <row r="31" spans="1:6" x14ac:dyDescent="0.25">
      <c r="A31">
        <v>30</v>
      </c>
      <c r="B31" t="s">
        <v>61</v>
      </c>
      <c r="C31" t="s">
        <v>62</v>
      </c>
      <c r="D31">
        <v>75</v>
      </c>
      <c r="E31">
        <f t="shared" si="0"/>
        <v>4</v>
      </c>
      <c r="F31" t="str">
        <f t="shared" si="1"/>
        <v>Red</v>
      </c>
    </row>
    <row r="32" spans="1:6" x14ac:dyDescent="0.25">
      <c r="A32">
        <v>31</v>
      </c>
      <c r="B32" t="s">
        <v>63</v>
      </c>
      <c r="C32" t="s">
        <v>64</v>
      </c>
      <c r="D32">
        <v>99</v>
      </c>
      <c r="E32">
        <f t="shared" si="0"/>
        <v>4</v>
      </c>
      <c r="F32" t="str">
        <f>_xlfn.SWITCH(E32,1,"Green",2,"Yellow",3,"Orange",4,"Red")</f>
        <v>Red</v>
      </c>
    </row>
  </sheetData>
  <pageMargins left="0.78740157480314965" right="0.39370078740157483" top="0.78740157480314965" bottom="0.78740157480314965" header="0.39370078740157483" footer="0.39370078740157483"/>
  <pageSetup paperSize="9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Ghaheri</dc:creator>
  <cp:lastModifiedBy>Mohammad Ghaheri</cp:lastModifiedBy>
  <dcterms:created xsi:type="dcterms:W3CDTF">2022-08-04T15:32:51Z</dcterms:created>
  <dcterms:modified xsi:type="dcterms:W3CDTF">2022-08-04T15:33:41Z</dcterms:modified>
</cp:coreProperties>
</file>